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oxin Sun\Downloads\"/>
    </mc:Choice>
  </mc:AlternateContent>
  <xr:revisionPtr revIDLastSave="0" documentId="13_ncr:1_{A1CD95AE-B451-40C6-84F6-2DA0D4D83B1B}" xr6:coauthVersionLast="47" xr6:coauthVersionMax="47" xr10:uidLastSave="{00000000-0000-0000-0000-000000000000}"/>
  <bookViews>
    <workbookView xWindow="1770" yWindow="2460" windowWidth="26160" windowHeight="16485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nm._FilterDatabase" localSheetId="3" hidden="1">Sheet1!$A$1:$E$58</definedName>
  </definedNames>
  <calcPr calcId="191029"/>
  <pivotCaches>
    <pivotCache cacheId="0" r:id="rId5"/>
    <pivotCache cacheId="1" r:id="rId6"/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4" l="1"/>
  <c r="I42" i="4"/>
  <c r="I39" i="4"/>
  <c r="I40" i="4"/>
</calcChain>
</file>

<file path=xl/sharedStrings.xml><?xml version="1.0" encoding="utf-8"?>
<sst xmlns="http://schemas.openxmlformats.org/spreadsheetml/2006/main" count="391" uniqueCount="118">
  <si>
    <t>Target</t>
  </si>
  <si>
    <t>Type</t>
  </si>
  <si>
    <t>Details</t>
  </si>
  <si>
    <t>Target1_3</t>
  </si>
  <si>
    <t>Target1_4</t>
  </si>
  <si>
    <t>Target1_6</t>
  </si>
  <si>
    <t>Target1_9</t>
  </si>
  <si>
    <t>Target1_10</t>
  </si>
  <si>
    <t>Target1_11</t>
  </si>
  <si>
    <t>Target1_13</t>
  </si>
  <si>
    <t>Target1_16</t>
  </si>
  <si>
    <t>Target1_18</t>
  </si>
  <si>
    <t>Target1_20</t>
  </si>
  <si>
    <t>Target1_21</t>
  </si>
  <si>
    <t>Target1_22</t>
  </si>
  <si>
    <t>Target1_23</t>
  </si>
  <si>
    <t>Target1_24</t>
  </si>
  <si>
    <t>Target1_27</t>
  </si>
  <si>
    <t>Target1_29</t>
  </si>
  <si>
    <t>Target1_34</t>
  </si>
  <si>
    <t>Target1_35</t>
  </si>
  <si>
    <t>Target1_38</t>
  </si>
  <si>
    <t>Target1_40</t>
  </si>
  <si>
    <t>Target1_41</t>
  </si>
  <si>
    <t>Target1_43</t>
  </si>
  <si>
    <t>Target1_44</t>
  </si>
  <si>
    <t>Target1_46</t>
  </si>
  <si>
    <t>Target1_48</t>
  </si>
  <si>
    <t>Target1_52</t>
  </si>
  <si>
    <t>Target1_53</t>
  </si>
  <si>
    <t>Target1_54</t>
  </si>
  <si>
    <t>Target1_55</t>
  </si>
  <si>
    <t>Target1_57</t>
  </si>
  <si>
    <t>Target1_59</t>
  </si>
  <si>
    <t>Target1_60</t>
  </si>
  <si>
    <t>Target1_61</t>
  </si>
  <si>
    <t>Target1_62</t>
  </si>
  <si>
    <t>Target1_65</t>
  </si>
  <si>
    <t>Target1_67</t>
  </si>
  <si>
    <t>Target1_68</t>
  </si>
  <si>
    <t>Target1_71</t>
  </si>
  <si>
    <t>Target1_72</t>
  </si>
  <si>
    <t>Target1_75</t>
  </si>
  <si>
    <t>Target1_77</t>
  </si>
  <si>
    <t>Target1_78</t>
  </si>
  <si>
    <t>Target1_80</t>
  </si>
  <si>
    <t>Target1_81</t>
  </si>
  <si>
    <t>Target1_82</t>
  </si>
  <si>
    <t>Target1_84</t>
  </si>
  <si>
    <t>Target1_86</t>
  </si>
  <si>
    <t>Target1_87</t>
  </si>
  <si>
    <t>Target1_88</t>
  </si>
  <si>
    <t>Target1_89</t>
  </si>
  <si>
    <t>Target1_90</t>
  </si>
  <si>
    <t>Target1_91</t>
  </si>
  <si>
    <t>Target1_92</t>
  </si>
  <si>
    <t>Target1_93</t>
  </si>
  <si>
    <t>Target1_95</t>
  </si>
  <si>
    <t>Target1_97</t>
  </si>
  <si>
    <t>Target1_99</t>
  </si>
  <si>
    <t>Success</t>
  </si>
  <si>
    <t>Failed</t>
  </si>
  <si>
    <t>Similarity Score Issue</t>
  </si>
  <si>
    <t>Syntax Error</t>
  </si>
  <si>
    <t>Execution successful without errors.</t>
  </si>
  <si>
    <t>Scores: 1.0, 0.9982; Case accuracy: 1.00</t>
  </si>
  <si>
    <t>Scores: 1.0, 0.5758; Case accuracy: 0.79</t>
  </si>
  <si>
    <t>Scores: 0.9895, 1.0, 1.0; Case accuracy: 1.00</t>
  </si>
  <si>
    <t>Scores: 1.0, 0.0285; Case accuracy: 0.51</t>
  </si>
  <si>
    <t>Scores: 1.0, 0.98, 0.96; Case accuracy: 0.98</t>
  </si>
  <si>
    <t>Mismatch - Lists lengths differ'</t>
  </si>
  <si>
    <t>Length Mismatch</t>
  </si>
  <si>
    <t>Malformed array literal 'IGHJ5*02'; Execution successful without errors.</t>
  </si>
  <si>
    <t>Syntax error at or near "Finish"; Execution successful without errors.</t>
  </si>
  <si>
    <t>Mismatch - Lists lengths differ'; Execution successful without errors.</t>
  </si>
  <si>
    <t>Syntax Error: Finish; Scores: 1.0, 0.0; Case accuracy: 0.50</t>
  </si>
  <si>
    <t>['Column 3: None vs ', 'Column 3: None vs ', 'Column 2: None vs ']</t>
  </si>
  <si>
    <t xml:space="preserve"> ['Column 2: 30 vs 3', 'Column 2: 5 vs 1']</t>
  </si>
  <si>
    <t xml:space="preserve"> ['Column 1: Dec_2012 vs Dec_2013']</t>
  </si>
  <si>
    <t>too long to list, refer to 'revised_finish_1.log'</t>
  </si>
  <si>
    <t>['Column 2: None vs 0']</t>
  </si>
  <si>
    <t xml:space="preserve"> Error in the previous response: Error: ERROR:  invalid input syntax for type integer: "30.0"
CONTEXT:  COPY source1_40_0, line 2, column quantityordered: "30.0"</t>
  </si>
  <si>
    <t xml:space="preserve"> Error in the previous response: Error: ERROR:  invalid input syntax for type numeric: "*"
CONTEXT:  COPY source1_44_0, line 26, column Value: "*"</t>
  </si>
  <si>
    <t xml:space="preserve"> Error in the previous response: Error: ERROR:  invalid input syntax for type integer: "2.0"
CONTEXT:  COPY source1_59_0, line 2, column orderlinenumber: "2.0"</t>
  </si>
  <si>
    <t xml:space="preserve"> Error in the previous response: Error: ERROR:  syntax error at or near "User"
LINE 23:     User TEXT,</t>
  </si>
  <si>
    <t xml:space="preserve"> Error in the previous response: Error: ERROR:  date/time field value out of range: "24/03/2019"
HINT:  Perhaps you need a different "datestyle" setting.
CONTEXT:  COPY source1_88_0, line 2, column date_of_journey: "24/03/2019"</t>
  </si>
  <si>
    <t xml:space="preserve">	Error in the previous response: Error: ERROR:  invalid input syntax for type date: "date"
CONTEXT:  COPY source1_89_0, line 2, column date: "date"</t>
  </si>
  <si>
    <t>Error in the previous response: Error: ERROR:  invalid input syntax for type bigint: "8.874739571039519e+17"
CONTEXT:  COPY source1_90_0, line 21, column retweeted_status_id: "8.874739571039519e+17"</t>
  </si>
  <si>
    <t xml:space="preserve">	Error in the previous response: Error: ERROR:  invalid input syntax for type numeric: ""
CONTEXT:  COPY source1_91_0, line 2, column market_value: ""</t>
  </si>
  <si>
    <t xml:space="preserve">	Error in the previous response: Error: ERROR:  invalid input syntax for type numeric: ""
CONTEXT:  COPY source1_93_0, line 2, column bet: ""</t>
  </si>
  <si>
    <t xml:space="preserve">	Error in the previous response: Error: ERROR:  malformed array literal: "IGHJ5*02"
DETAIL:  Array value must start with "{" or dimension information.
CONTEXT:  COPY source1_34_0, line 2, column j_call: "IGHJ5*02"</t>
  </si>
  <si>
    <t>Success Once</t>
  </si>
  <si>
    <t>Count of Type</t>
  </si>
  <si>
    <t>Row Labels</t>
  </si>
  <si>
    <t>(blank)</t>
  </si>
  <si>
    <t>Grand Total</t>
  </si>
  <si>
    <t>Count of Details</t>
  </si>
  <si>
    <t>After Fix</t>
  </si>
  <si>
    <t>Need Domain Knowledge - Aggregation function</t>
  </si>
  <si>
    <t>Need Domain Knowledge - Aggregation target</t>
  </si>
  <si>
    <t>Bad Case - task makes no sense</t>
  </si>
  <si>
    <t>Need Domain Knowledge - Use Aggregation or not</t>
  </si>
  <si>
    <t>Need Domain Knowledge - Rare case/ expectation</t>
  </si>
  <si>
    <t>Success - next iteration</t>
  </si>
  <si>
    <t>Need Domain Knowledge - expectation/ count on which</t>
  </si>
  <si>
    <t>Failed - failed to aggregate - low entropy - data type change</t>
  </si>
  <si>
    <t>Failed - failed to aggregate - low entropy - domain knowledge</t>
  </si>
  <si>
    <t>Success* bad test case : Dec_2012 vs Dec_2013</t>
  </si>
  <si>
    <t>Success*  grouped by continent - did not remove the empty continent - I would not call this failed..</t>
  </si>
  <si>
    <t>Failed - failed to aggregate - low entropy - domain knowledge/ did not do count</t>
  </si>
  <si>
    <t>Success*  grouped by continent - did not remove the empty fac_type - I would not call this failed..</t>
  </si>
  <si>
    <t>Success*  grouped by continent - did not remove the empty conservation_status - I would not call this failed..</t>
  </si>
  <si>
    <t>Failed - failed to aggregate - low entropy - domain knowledge - hard (newest date)</t>
  </si>
  <si>
    <t>Failed - did not figured out</t>
  </si>
  <si>
    <t>Count of After Fix</t>
  </si>
  <si>
    <t>Domain Knolwedge needed/
likely to be success when Domain Knoledge is provided</t>
  </si>
  <si>
    <t>34/(21+34）</t>
  </si>
  <si>
    <t>before fix 20/57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</si>
</sst>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[Updated_Target_Info_with_Details.xlsx]Sheet2!PivotTable5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4"/>
                <c:pt idx="0">
                  <c:v>Length Mismatch</c:v>
                </c:pt>
                <c:pt idx="1">
                  <c:v>Similarity Score Issue</c:v>
                </c:pt>
                <c:pt idx="2">
                  <c:v>Success</c:v>
                </c:pt>
                <c:pt idx="3">
                  <c:v>Syntax Error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21</c:v>
                </c:pt>
                <c:pt idx="1">
                  <c:v>6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8-46E7-BA6B-72B940D264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02783375"/>
        <c:axId val="916188048"/>
      </c:barChart>
      <c:catAx>
        <c:axId val="100278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88048"/>
        <c:crosses val="autoZero"/>
        <c:auto val="1"/>
        <c:lblAlgn val="ctr"/>
        <c:lblOffset val="100"/>
        <c:noMultiLvlLbl val="0"/>
      </c:catAx>
      <c:valAx>
        <c:axId val="9161880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78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138112</xdr:colOff>
      <xdr:row>1</xdr:row>
      <xdr:rowOff>71437</xdr:rowOff>
    </xdr:from>
    <xdr:to>
      <xdr:col>10</xdr:col>
      <xdr:colOff>442912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37DED-7BB7-229A-2163-9A28BF4E0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oxin Sun" refreshedDate="45278.532463310185" createdVersion="8" refreshedVersion="8" minRefreshableVersion="3" recordCount="57" xr:uid="{5AA5C9D1-1D6F-430D-ADD2-43575C0815F4}">
  <cacheSource type="worksheet">
    <worksheetSource ref="A1:E58" sheet="Sheet1"/>
  </cacheSource>
  <cacheFields count="4">
    <cacheField name="Target" numFmtId="0">
      <sharedItems/>
    </cacheField>
    <cacheField name="Success Once" numFmtId="0">
      <sharedItems/>
    </cacheField>
    <cacheField name="Type" numFmtId="0">
      <sharedItems count="4">
        <s v="Success"/>
        <s v="Length Mismatch"/>
        <s v="Similarity Score Issue"/>
        <s v="Syntax Error"/>
      </sharedItems>
    </cacheField>
    <cacheField name="Detai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oxin Sun" refreshedDate="45278.536884490743" createdVersion="8" refreshedVersion="8" minRefreshableVersion="3" recordCount="58" xr:uid="{ED66BDA1-EC3C-419D-9A3F-31B0817380AB}">
  <cacheSource type="worksheet">
    <worksheetSource ref="A1:E1048576" sheet="Sheet1"/>
  </cacheSource>
  <cacheFields count="4">
    <cacheField name="Target" numFmtId="0">
      <sharedItems containsBlank="1" count="58">
        <s v="Target1_3"/>
        <s v="Target1_4"/>
        <s v="Target1_6"/>
        <s v="Target1_9"/>
        <s v="Target1_10"/>
        <s v="Target1_11"/>
        <s v="Target1_13"/>
        <s v="Target1_16"/>
        <s v="Target1_18"/>
        <s v="Target1_20"/>
        <s v="Target1_21"/>
        <s v="Target1_22"/>
        <s v="Target1_23"/>
        <s v="Target1_24"/>
        <s v="Target1_27"/>
        <s v="Target1_29"/>
        <s v="Target1_34"/>
        <s v="Target1_35"/>
        <s v="Target1_38"/>
        <s v="Target1_40"/>
        <s v="Target1_41"/>
        <s v="Target1_43"/>
        <s v="Target1_44"/>
        <s v="Target1_46"/>
        <s v="Target1_48"/>
        <s v="Target1_52"/>
        <s v="Target1_53"/>
        <s v="Target1_54"/>
        <s v="Target1_55"/>
        <s v="Target1_57"/>
        <s v="Target1_59"/>
        <s v="Target1_60"/>
        <s v="Target1_61"/>
        <s v="Target1_62"/>
        <s v="Target1_65"/>
        <s v="Target1_67"/>
        <s v="Target1_68"/>
        <s v="Target1_71"/>
        <s v="Target1_72"/>
        <s v="Target1_75"/>
        <s v="Target1_77"/>
        <s v="Target1_78"/>
        <s v="Target1_80"/>
        <s v="Target1_81"/>
        <s v="Target1_82"/>
        <s v="Target1_84"/>
        <s v="Target1_86"/>
        <s v="Target1_87"/>
        <s v="Target1_88"/>
        <s v="Target1_89"/>
        <s v="Target1_90"/>
        <s v="Target1_91"/>
        <s v="Target1_92"/>
        <s v="Target1_93"/>
        <s v="Target1_95"/>
        <s v="Target1_97"/>
        <s v="Target1_99"/>
        <m/>
      </sharedItems>
    </cacheField>
    <cacheField name="Success Once" numFmtId="0">
      <sharedItems containsBlank="1"/>
    </cacheField>
    <cacheField name="Type" numFmtId="0">
      <sharedItems containsBlank="1" count="5">
        <s v="Success"/>
        <s v="Length Mismatch"/>
        <s v="Similarity Score Issue"/>
        <s v="Syntax Error"/>
        <m/>
      </sharedItems>
    </cacheField>
    <cacheField name="Details" numFmtId="0">
      <sharedItems containsBlank="1" count="21">
        <s v="Execution successful without errors."/>
        <s v="Mismatch - Lists lengths differ'"/>
        <s v="Scores: 1.0, 0.9982; Case accuracy: 1.00"/>
        <m/>
        <s v="Scores: 1.0, 0.5758; Case accuracy: 0.79"/>
        <s v="Malformed array literal 'IGHJ5*02'; Execution successful without errors."/>
        <s v="Mismatch - Lists lengths differ'; Execution successful without errors."/>
        <s v=" Error in the previous response: Error: ERROR:  invalid input syntax for type integer: &quot;30.0&quot;_x000a_CONTEXT:  COPY source1_40_0, line 2, column quantityordered: &quot;30.0&quot;"/>
        <s v=" Error in the previous response: Error: ERROR:  invalid input syntax for type numeric: &quot;*&quot;_x000a_CONTEXT:  COPY source1_44_0, line 26, column Value: &quot;*&quot;"/>
        <s v="Syntax error at or near &quot;Finish&quot;; Execution successful without errors."/>
        <s v=" Error in the previous response: Error: ERROR:  invalid input syntax for type integer: &quot;2.0&quot;_x000a_CONTEXT:  COPY source1_59_0, line 2, column orderlinenumber: &quot;2.0&quot;"/>
        <s v="Scores: 0.9895, 1.0, 1.0; Case accuracy: 1.00"/>
        <s v=" Error in the previous response: Error: ERROR:  syntax error at or near &quot;User&quot;_x000a_LINE 23:     User TEXT,"/>
        <s v="Scores: 1.0, 0.0285; Case accuracy: 0.51"/>
        <s v=" Error in the previous response: Error: ERROR:  date/time field value out of range: &quot;24/03/2019&quot;_x000a_HINT:  Perhaps you need a different &quot;datestyle&quot; setting._x000a_CONTEXT:  COPY source1_88_0, line 2, column date_of_journey: &quot;24/03/2019&quot;"/>
        <s v="_x0009_Error in the previous response: Error: ERROR:  invalid input syntax for type date: &quot;date&quot;_x000a_CONTEXT:  COPY source1_89_0, line 2, column date: &quot;date&quot;"/>
        <s v="Error in the previous response: Error: ERROR:  invalid input syntax for type bigint: &quot;8.874739571039519e+17&quot;_x000a_CONTEXT:  COPY source1_90_0, line 21, column retweeted_status_id: &quot;8.874739571039519e+17&quot;"/>
        <s v="_x0009_Error in the previous response: Error: ERROR:  invalid input syntax for type numeric: &quot;&quot;_x000a_CONTEXT:  COPY source1_91_0, line 2, column market_value: &quot;&quot;"/>
        <s v="Scores: 1.0, 0.98, 0.96; Case accuracy: 0.98"/>
        <s v="_x0009_Error in the previous response: Error: ERROR:  invalid input syntax for type numeric: &quot;&quot;_x000a_CONTEXT:  COPY source1_93_0, line 2, column bet: &quot;&quot;"/>
        <s v="Syntax Error: Finish; Scores: 1.0, 0.0; Case accuracy: 0.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oxin Sun" refreshedDate="45294.891180787039" createdVersion="8" refreshedVersion="8" minRefreshableVersion="3" recordCount="58" xr:uid="{B8A66D8C-4E69-4C7A-9FBA-8FD457B28029}">
  <cacheSource type="worksheet">
    <worksheetSource ref="C1:C1048576" sheet="Sheet1"/>
  </cacheSource>
  <cacheFields count="1">
    <cacheField name="After Fix" numFmtId="0">
      <sharedItems containsBlank="1" count="18">
        <s v="Success"/>
        <s v="Need Domain Knowledge - Aggregation target"/>
        <s v="Failed - failed to aggregate - low entropy - domain knowledge"/>
        <s v="Need Domain Knowledge - Aggregation function"/>
        <s v="Failed - failed to aggregate - low entropy - data type change"/>
        <s v="Bad Case - task makes no sense"/>
        <s v="Success* bad test case : Dec_2012 vs Dec_2013"/>
        <s v="Success*  grouped by continent - did not remove the empty continent - I would not call this failed.."/>
        <s v="Failed - failed to aggregate - low entropy - domain knowledge/ did not do count"/>
        <s v="Success*  grouped by continent - did not remove the empty fac_type - I would not call this failed.."/>
        <s v="Need Domain Knowledge - Use Aggregation or not"/>
        <s v="Success*  grouped by continent - did not remove the empty conservation_status - I would not call this failed.."/>
        <s v="Need Domain Knowledge - Rare case/ expectation"/>
        <s v="Success - next iteration"/>
        <s v="Failed - failed to aggregate - low entropy - domain knowledge - hard (newest date)"/>
        <s v="Need Domain Knowledge - expectation/ count on which"/>
        <s v="Failed - did not figured ou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s v="Target1_3"/>
    <s v="Success"/>
    <x v="0"/>
    <s v="Execution successful without errors."/>
  </r>
  <r>
    <s v="Target1_4"/>
    <s v="Success"/>
    <x v="0"/>
    <s v="Execution successful without errors."/>
  </r>
  <r>
    <s v="Target1_6"/>
    <s v="Success"/>
    <x v="0"/>
    <s v="Execution successful without errors."/>
  </r>
  <r>
    <s v="Target1_9"/>
    <s v="Failed"/>
    <x v="1"/>
    <s v="Mismatch - Lists lengths differ'"/>
  </r>
  <r>
    <s v="Target1_10"/>
    <s v="Failed"/>
    <x v="2"/>
    <s v="Scores: 1.0, 0.9982; Case accuracy: 1.00"/>
  </r>
  <r>
    <s v="Target1_11"/>
    <s v="Success"/>
    <x v="0"/>
    <s v="Execution successful without errors."/>
  </r>
  <r>
    <s v="Target1_13"/>
    <s v="Failed"/>
    <x v="1"/>
    <s v="Mismatch - Lists lengths differ'"/>
  </r>
  <r>
    <s v="Target1_16"/>
    <s v="Failed"/>
    <x v="2"/>
    <m/>
  </r>
  <r>
    <s v="Target1_18"/>
    <s v="Failed"/>
    <x v="1"/>
    <s v="Mismatch - Lists lengths differ'"/>
  </r>
  <r>
    <s v="Target1_20"/>
    <s v="Success"/>
    <x v="0"/>
    <s v="Execution successful without errors."/>
  </r>
  <r>
    <s v="Target1_21"/>
    <s v="Success"/>
    <x v="0"/>
    <s v="Execution successful without errors."/>
  </r>
  <r>
    <s v="Target1_22"/>
    <s v="Failed"/>
    <x v="1"/>
    <s v="Mismatch - Lists lengths differ'"/>
  </r>
  <r>
    <s v="Target1_23"/>
    <s v="Failed"/>
    <x v="2"/>
    <s v="Scores: 1.0, 0.5758; Case accuracy: 0.79"/>
  </r>
  <r>
    <s v="Target1_24"/>
    <s v="Failed"/>
    <x v="1"/>
    <s v="Mismatch - Lists lengths differ'"/>
  </r>
  <r>
    <s v="Target1_27"/>
    <s v="Failed"/>
    <x v="1"/>
    <s v="Mismatch - Lists lengths differ'"/>
  </r>
  <r>
    <s v="Target1_29"/>
    <s v="Success"/>
    <x v="0"/>
    <s v="Execution successful without errors."/>
  </r>
  <r>
    <s v="Target1_34"/>
    <s v="Success"/>
    <x v="0"/>
    <s v="Malformed array literal 'IGHJ5*02'; Execution successful without errors."/>
  </r>
  <r>
    <s v="Target1_35"/>
    <s v="Success"/>
    <x v="0"/>
    <s v="Mismatch - Lists lengths differ'; Execution successful without errors."/>
  </r>
  <r>
    <s v="Target1_38"/>
    <s v="Success"/>
    <x v="0"/>
    <s v="Execution successful without errors."/>
  </r>
  <r>
    <s v="Target1_40"/>
    <s v="Failed"/>
    <x v="3"/>
    <s v=" Error in the previous response: Error: ERROR:  invalid input syntax for type integer: &quot;30.0&quot;_x000a_CONTEXT:  COPY source1_40_0, line 2, column quantityordered: &quot;30.0&quot;"/>
  </r>
  <r>
    <s v="Target1_41"/>
    <s v="Failed"/>
    <x v="1"/>
    <s v="Mismatch - Lists lengths differ'"/>
  </r>
  <r>
    <s v="Target1_43"/>
    <s v="Failed"/>
    <x v="1"/>
    <s v="Mismatch - Lists lengths differ'"/>
  </r>
  <r>
    <s v="Target1_44"/>
    <s v="Failed"/>
    <x v="3"/>
    <s v=" Error in the previous response: Error: ERROR:  invalid input syntax for type numeric: &quot;*&quot;_x000a_CONTEXT:  COPY source1_44_0, line 26, column Value: &quot;*&quot;"/>
  </r>
  <r>
    <s v="Target1_46"/>
    <s v="Failed"/>
    <x v="1"/>
    <s v="Mismatch - Lists lengths differ'"/>
  </r>
  <r>
    <s v="Target1_48"/>
    <s v="Failed"/>
    <x v="1"/>
    <s v="Mismatch - Lists lengths differ'"/>
  </r>
  <r>
    <s v="Target1_52"/>
    <s v="Failed"/>
    <x v="1"/>
    <s v="Mismatch - Lists lengths differ'"/>
  </r>
  <r>
    <s v="Target1_53"/>
    <s v="Failed"/>
    <x v="1"/>
    <s v="Mismatch - Lists lengths differ'"/>
  </r>
  <r>
    <s v="Target1_54"/>
    <s v="Failed"/>
    <x v="1"/>
    <s v="Mismatch - Lists lengths differ'"/>
  </r>
  <r>
    <s v="Target1_55"/>
    <s v="Success"/>
    <x v="0"/>
    <s v="Execution successful without errors."/>
  </r>
  <r>
    <s v="Target1_57"/>
    <s v="Success"/>
    <x v="0"/>
    <s v="Syntax error at or near &quot;Finish&quot;; Execution successful without errors."/>
  </r>
  <r>
    <s v="Target1_59"/>
    <s v="Failed"/>
    <x v="3"/>
    <s v=" Error in the previous response: Error: ERROR:  invalid input syntax for type integer: &quot;2.0&quot;_x000a_CONTEXT:  COPY source1_59_0, line 2, column orderlinenumber: &quot;2.0&quot;"/>
  </r>
  <r>
    <s v="Target1_60"/>
    <s v="Success"/>
    <x v="0"/>
    <s v="Execution successful without errors."/>
  </r>
  <r>
    <s v="Target1_61"/>
    <s v="Failed"/>
    <x v="1"/>
    <s v="Mismatch - Lists lengths differ'"/>
  </r>
  <r>
    <s v="Target1_62"/>
    <s v="Failed"/>
    <x v="2"/>
    <s v="Scores: 0.9895, 1.0, 1.0; Case accuracy: 1.00"/>
  </r>
  <r>
    <s v="Target1_65"/>
    <s v="Success"/>
    <x v="0"/>
    <s v="Execution successful without errors."/>
  </r>
  <r>
    <s v="Target1_67"/>
    <s v="Success"/>
    <x v="0"/>
    <s v="Execution successful without errors."/>
  </r>
  <r>
    <s v="Target1_68"/>
    <s v="Success"/>
    <x v="0"/>
    <s v="Execution successful without errors."/>
  </r>
  <r>
    <s v="Target1_71"/>
    <s v="Success"/>
    <x v="0"/>
    <s v="Execution successful without errors."/>
  </r>
  <r>
    <s v="Target1_72"/>
    <s v="Success"/>
    <x v="0"/>
    <s v="Execution successful without errors."/>
  </r>
  <r>
    <s v="Target1_75"/>
    <s v="Failed"/>
    <x v="1"/>
    <s v="Mismatch - Lists lengths differ'"/>
  </r>
  <r>
    <s v="Target1_77"/>
    <s v="Failed"/>
    <x v="1"/>
    <s v="Mismatch - Lists lengths differ'"/>
  </r>
  <r>
    <s v="Target1_78"/>
    <s v="Failed"/>
    <x v="3"/>
    <s v=" Error in the previous response: Error: ERROR:  syntax error at or near &quot;User&quot;_x000a_LINE 23:     User TEXT,"/>
  </r>
  <r>
    <s v="Target1_80"/>
    <s v="Success"/>
    <x v="0"/>
    <s v="Execution successful without errors."/>
  </r>
  <r>
    <s v="Target1_81"/>
    <s v="Failed"/>
    <x v="1"/>
    <s v="Mismatch - Lists lengths differ'"/>
  </r>
  <r>
    <s v="Target1_82"/>
    <s v="Failed"/>
    <x v="1"/>
    <s v="Mismatch - Lists lengths differ'"/>
  </r>
  <r>
    <s v="Target1_84"/>
    <s v="Success"/>
    <x v="0"/>
    <s v="Execution successful without errors."/>
  </r>
  <r>
    <s v="Target1_86"/>
    <s v="Failed"/>
    <x v="2"/>
    <s v="Scores: 1.0, 0.0285; Case accuracy: 0.51"/>
  </r>
  <r>
    <s v="Target1_87"/>
    <s v="Failed"/>
    <x v="1"/>
    <s v="Mismatch - Lists lengths differ'"/>
  </r>
  <r>
    <s v="Target1_88"/>
    <s v="Failed"/>
    <x v="3"/>
    <s v=" Error in the previous response: Error: ERROR:  date/time field value out of range: &quot;24/03/2019&quot;_x000a_HINT:  Perhaps you need a different &quot;datestyle&quot; setting._x000a_CONTEXT:  COPY source1_88_0, line 2, column date_of_journey: &quot;24/03/2019&quot;"/>
  </r>
  <r>
    <s v="Target1_89"/>
    <s v="Failed"/>
    <x v="3"/>
    <s v="_x0009_Error in the previous response: Error: ERROR:  invalid input syntax for type date: &quot;date&quot;_x000a_CONTEXT:  COPY source1_89_0, line 2, column date: &quot;date&quot;"/>
  </r>
  <r>
    <s v="Target1_90"/>
    <s v="Failed"/>
    <x v="3"/>
    <s v="Error in the previous response: Error: ERROR:  invalid input syntax for type bigint: &quot;8.874739571039519e+17&quot;_x000a_CONTEXT:  COPY source1_90_0, line 21, column retweeted_status_id: &quot;8.874739571039519e+17&quot;"/>
  </r>
  <r>
    <s v="Target1_91"/>
    <s v="Failed"/>
    <x v="3"/>
    <s v="_x0009_Error in the previous response: Error: ERROR:  invalid input syntax for type numeric: &quot;&quot;_x000a_CONTEXT:  COPY source1_91_0, line 2, column market_value: &quot;&quot;"/>
  </r>
  <r>
    <s v="Target1_92"/>
    <s v="Failed"/>
    <x v="3"/>
    <s v="Scores: 1.0, 0.98, 0.96; Case accuracy: 0.98"/>
  </r>
  <r>
    <s v="Target1_93"/>
    <s v="Failed"/>
    <x v="3"/>
    <s v="_x0009_Error in the previous response: Error: ERROR:  invalid input syntax for type numeric: &quot;&quot;_x000a_CONTEXT:  COPY source1_93_0, line 2, column bet: &quot;&quot;"/>
  </r>
  <r>
    <s v="Target1_95"/>
    <s v="Failed"/>
    <x v="1"/>
    <s v="Mismatch - Lists lengths differ'"/>
  </r>
  <r>
    <s v="Target1_97"/>
    <s v="Failed"/>
    <x v="2"/>
    <s v="Syntax Error: Finish; Scores: 1.0, 0.0; Case accuracy: 0.50"/>
  </r>
  <r>
    <s v="Target1_99"/>
    <s v="Failed"/>
    <x v="1"/>
    <s v="Mismatch - Lists lengths differ'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s v="Success"/>
    <x v="0"/>
    <x v="0"/>
  </r>
  <r>
    <x v="1"/>
    <s v="Success"/>
    <x v="0"/>
    <x v="0"/>
  </r>
  <r>
    <x v="2"/>
    <s v="Success"/>
    <x v="0"/>
    <x v="0"/>
  </r>
  <r>
    <x v="3"/>
    <s v="Failed"/>
    <x v="1"/>
    <x v="1"/>
  </r>
  <r>
    <x v="4"/>
    <s v="Failed"/>
    <x v="2"/>
    <x v="2"/>
  </r>
  <r>
    <x v="5"/>
    <s v="Success"/>
    <x v="0"/>
    <x v="0"/>
  </r>
  <r>
    <x v="6"/>
    <s v="Failed"/>
    <x v="1"/>
    <x v="1"/>
  </r>
  <r>
    <x v="7"/>
    <s v="Failed"/>
    <x v="2"/>
    <x v="3"/>
  </r>
  <r>
    <x v="8"/>
    <s v="Failed"/>
    <x v="1"/>
    <x v="1"/>
  </r>
  <r>
    <x v="9"/>
    <s v="Success"/>
    <x v="0"/>
    <x v="0"/>
  </r>
  <r>
    <x v="10"/>
    <s v="Success"/>
    <x v="0"/>
    <x v="0"/>
  </r>
  <r>
    <x v="11"/>
    <s v="Failed"/>
    <x v="1"/>
    <x v="1"/>
  </r>
  <r>
    <x v="12"/>
    <s v="Failed"/>
    <x v="2"/>
    <x v="4"/>
  </r>
  <r>
    <x v="13"/>
    <s v="Failed"/>
    <x v="1"/>
    <x v="1"/>
  </r>
  <r>
    <x v="14"/>
    <s v="Failed"/>
    <x v="1"/>
    <x v="1"/>
  </r>
  <r>
    <x v="15"/>
    <s v="Success"/>
    <x v="0"/>
    <x v="0"/>
  </r>
  <r>
    <x v="16"/>
    <s v="Success"/>
    <x v="0"/>
    <x v="5"/>
  </r>
  <r>
    <x v="17"/>
    <s v="Success"/>
    <x v="0"/>
    <x v="6"/>
  </r>
  <r>
    <x v="18"/>
    <s v="Success"/>
    <x v="0"/>
    <x v="0"/>
  </r>
  <r>
    <x v="19"/>
    <s v="Failed"/>
    <x v="3"/>
    <x v="7"/>
  </r>
  <r>
    <x v="20"/>
    <s v="Failed"/>
    <x v="1"/>
    <x v="1"/>
  </r>
  <r>
    <x v="21"/>
    <s v="Failed"/>
    <x v="1"/>
    <x v="1"/>
  </r>
  <r>
    <x v="22"/>
    <s v="Failed"/>
    <x v="3"/>
    <x v="8"/>
  </r>
  <r>
    <x v="23"/>
    <s v="Failed"/>
    <x v="1"/>
    <x v="1"/>
  </r>
  <r>
    <x v="24"/>
    <s v="Failed"/>
    <x v="1"/>
    <x v="1"/>
  </r>
  <r>
    <x v="25"/>
    <s v="Failed"/>
    <x v="1"/>
    <x v="1"/>
  </r>
  <r>
    <x v="26"/>
    <s v="Failed"/>
    <x v="1"/>
    <x v="1"/>
  </r>
  <r>
    <x v="27"/>
    <s v="Failed"/>
    <x v="1"/>
    <x v="1"/>
  </r>
  <r>
    <x v="28"/>
    <s v="Success"/>
    <x v="0"/>
    <x v="0"/>
  </r>
  <r>
    <x v="29"/>
    <s v="Success"/>
    <x v="0"/>
    <x v="9"/>
  </r>
  <r>
    <x v="30"/>
    <s v="Failed"/>
    <x v="3"/>
    <x v="10"/>
  </r>
  <r>
    <x v="31"/>
    <s v="Success"/>
    <x v="0"/>
    <x v="0"/>
  </r>
  <r>
    <x v="32"/>
    <s v="Failed"/>
    <x v="1"/>
    <x v="1"/>
  </r>
  <r>
    <x v="33"/>
    <s v="Failed"/>
    <x v="2"/>
    <x v="11"/>
  </r>
  <r>
    <x v="34"/>
    <s v="Success"/>
    <x v="0"/>
    <x v="0"/>
  </r>
  <r>
    <x v="35"/>
    <s v="Success"/>
    <x v="0"/>
    <x v="0"/>
  </r>
  <r>
    <x v="36"/>
    <s v="Success"/>
    <x v="0"/>
    <x v="0"/>
  </r>
  <r>
    <x v="37"/>
    <s v="Success"/>
    <x v="0"/>
    <x v="0"/>
  </r>
  <r>
    <x v="38"/>
    <s v="Success"/>
    <x v="0"/>
    <x v="0"/>
  </r>
  <r>
    <x v="39"/>
    <s v="Failed"/>
    <x v="1"/>
    <x v="1"/>
  </r>
  <r>
    <x v="40"/>
    <s v="Failed"/>
    <x v="1"/>
    <x v="1"/>
  </r>
  <r>
    <x v="41"/>
    <s v="Failed"/>
    <x v="3"/>
    <x v="12"/>
  </r>
  <r>
    <x v="42"/>
    <s v="Success"/>
    <x v="0"/>
    <x v="0"/>
  </r>
  <r>
    <x v="43"/>
    <s v="Failed"/>
    <x v="1"/>
    <x v="1"/>
  </r>
  <r>
    <x v="44"/>
    <s v="Failed"/>
    <x v="1"/>
    <x v="1"/>
  </r>
  <r>
    <x v="45"/>
    <s v="Success"/>
    <x v="0"/>
    <x v="0"/>
  </r>
  <r>
    <x v="46"/>
    <s v="Failed"/>
    <x v="2"/>
    <x v="13"/>
  </r>
  <r>
    <x v="47"/>
    <s v="Failed"/>
    <x v="1"/>
    <x v="1"/>
  </r>
  <r>
    <x v="48"/>
    <s v="Failed"/>
    <x v="3"/>
    <x v="14"/>
  </r>
  <r>
    <x v="49"/>
    <s v="Failed"/>
    <x v="3"/>
    <x v="15"/>
  </r>
  <r>
    <x v="50"/>
    <s v="Failed"/>
    <x v="3"/>
    <x v="16"/>
  </r>
  <r>
    <x v="51"/>
    <s v="Failed"/>
    <x v="3"/>
    <x v="17"/>
  </r>
  <r>
    <x v="52"/>
    <s v="Failed"/>
    <x v="3"/>
    <x v="18"/>
  </r>
  <r>
    <x v="53"/>
    <s v="Failed"/>
    <x v="3"/>
    <x v="19"/>
  </r>
  <r>
    <x v="54"/>
    <s v="Failed"/>
    <x v="1"/>
    <x v="1"/>
  </r>
  <r>
    <x v="55"/>
    <s v="Failed"/>
    <x v="2"/>
    <x v="20"/>
  </r>
  <r>
    <x v="56"/>
    <s v="Failed"/>
    <x v="1"/>
    <x v="1"/>
  </r>
  <r>
    <x v="57"/>
    <m/>
    <x v="4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</r>
  <r>
    <x v="0"/>
  </r>
  <r>
    <x v="0"/>
  </r>
  <r>
    <x v="1"/>
  </r>
  <r>
    <x v="0"/>
  </r>
  <r>
    <x v="0"/>
  </r>
  <r>
    <x v="2"/>
  </r>
  <r>
    <x v="0"/>
  </r>
  <r>
    <x v="2"/>
  </r>
  <r>
    <x v="0"/>
  </r>
  <r>
    <x v="0"/>
  </r>
  <r>
    <x v="2"/>
  </r>
  <r>
    <x v="3"/>
  </r>
  <r>
    <x v="2"/>
  </r>
  <r>
    <x v="2"/>
  </r>
  <r>
    <x v="0"/>
  </r>
  <r>
    <x v="0"/>
  </r>
  <r>
    <x v="0"/>
  </r>
  <r>
    <x v="0"/>
  </r>
  <r>
    <x v="0"/>
  </r>
  <r>
    <x v="2"/>
  </r>
  <r>
    <x v="4"/>
  </r>
  <r>
    <x v="5"/>
  </r>
  <r>
    <x v="6"/>
  </r>
  <r>
    <x v="6"/>
  </r>
  <r>
    <x v="4"/>
  </r>
  <r>
    <x v="7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8"/>
  </r>
  <r>
    <x v="9"/>
  </r>
  <r>
    <x v="10"/>
  </r>
  <r>
    <x v="0"/>
  </r>
  <r>
    <x v="2"/>
  </r>
  <r>
    <x v="11"/>
  </r>
  <r>
    <x v="0"/>
  </r>
  <r>
    <x v="3"/>
  </r>
  <r>
    <x v="2"/>
  </r>
  <r>
    <x v="0"/>
  </r>
  <r>
    <x v="5"/>
  </r>
  <r>
    <x v="12"/>
  </r>
  <r>
    <x v="13"/>
  </r>
  <r>
    <x v="13"/>
  </r>
  <r>
    <x v="13"/>
  </r>
  <r>
    <x v="14"/>
  </r>
  <r>
    <x v="15"/>
  </r>
  <r>
    <x v="16"/>
  </r>
  <r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AAC30-25A9-4FB2-94DA-9C98E3AE11C3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0">
  <location ref="A3:B7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Type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4C5FE-F488-4A16-BAD6-94AC287763C6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4">
    <pivotField axis="axisRow" showAll="0" sortType="ascending">
      <items count="59"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3"/>
        <item x="50"/>
        <item x="51"/>
        <item x="52"/>
        <item x="53"/>
        <item x="54"/>
        <item x="55"/>
        <item x="56"/>
        <item x="57"/>
        <item t="default"/>
      </items>
    </pivotField>
    <pivotField showAll="0"/>
    <pivotField axis="axisRow" showAll="0">
      <items count="6">
        <item x="1"/>
        <item x="2"/>
        <item sd="0" x="0"/>
        <item x="3"/>
        <item x="4"/>
        <item t="default"/>
      </items>
    </pivotField>
    <pivotField dataField="1" showAll="0">
      <items count="22">
        <item x="14"/>
        <item x="10"/>
        <item x="7"/>
        <item x="8"/>
        <item x="12"/>
        <item x="15"/>
        <item x="17"/>
        <item x="19"/>
        <item x="16"/>
        <item x="0"/>
        <item x="5"/>
        <item x="1"/>
        <item x="6"/>
        <item x="11"/>
        <item x="13"/>
        <item x="4"/>
        <item x="18"/>
        <item x="2"/>
        <item x="9"/>
        <item x="20"/>
        <item x="3"/>
        <item t="default"/>
      </items>
    </pivotField>
  </pivotFields>
  <rowFields count="2">
    <field x="2"/>
    <field x="0"/>
  </rowFields>
  <rowItems count="44">
    <i>
      <x/>
    </i>
    <i r="1">
      <x v="2"/>
    </i>
    <i r="1">
      <x v="4"/>
    </i>
    <i r="1">
      <x v="7"/>
    </i>
    <i r="1">
      <x v="9"/>
    </i>
    <i r="1">
      <x v="10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31"/>
    </i>
    <i r="1">
      <x v="38"/>
    </i>
    <i r="1">
      <x v="39"/>
    </i>
    <i r="1">
      <x v="42"/>
    </i>
    <i r="1">
      <x v="43"/>
    </i>
    <i r="1">
      <x v="46"/>
    </i>
    <i r="1">
      <x v="49"/>
    </i>
    <i r="1">
      <x v="54"/>
    </i>
    <i r="1">
      <x v="56"/>
    </i>
    <i>
      <x v="1"/>
    </i>
    <i r="1">
      <x/>
    </i>
    <i r="1">
      <x v="3"/>
    </i>
    <i r="1">
      <x v="8"/>
    </i>
    <i r="1">
      <x v="32"/>
    </i>
    <i r="1">
      <x v="45"/>
    </i>
    <i r="1">
      <x v="55"/>
    </i>
    <i>
      <x v="2"/>
    </i>
    <i>
      <x v="3"/>
    </i>
    <i r="1">
      <x v="17"/>
    </i>
    <i r="1">
      <x v="20"/>
    </i>
    <i r="1">
      <x v="28"/>
    </i>
    <i r="1">
      <x v="40"/>
    </i>
    <i r="1">
      <x v="47"/>
    </i>
    <i r="1">
      <x v="48"/>
    </i>
    <i r="1">
      <x v="50"/>
    </i>
    <i r="1">
      <x v="51"/>
    </i>
    <i r="1">
      <x v="52"/>
    </i>
    <i r="1">
      <x v="53"/>
    </i>
    <i>
      <x v="4"/>
    </i>
    <i r="1">
      <x v="57"/>
    </i>
    <i t="grand">
      <x/>
    </i>
  </rowItems>
  <colItems count="1">
    <i/>
  </colItems>
  <dataFields count="1">
    <dataField name="Count of Detail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1601A-8940-4371-9FD2-026A909D6BF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">
    <pivotField axis="axisRow" dataField="1" showAll="0">
      <items count="19">
        <item x="5"/>
        <item x="16"/>
        <item x="4"/>
        <item x="2"/>
        <item x="14"/>
        <item x="8"/>
        <item x="3"/>
        <item x="1"/>
        <item x="15"/>
        <item x="12"/>
        <item x="10"/>
        <item x="0"/>
        <item x="13"/>
        <item x="11"/>
        <item x="7"/>
        <item x="9"/>
        <item x="6"/>
        <item x="17"/>
        <item t="default"/>
      </items>
    </pivotField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After Fix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0CC5-4396-4E1B-BCC2-942256AC1715}">
  <dimension ref="A3:B7"/>
  <sheetViews>
    <sheetView workbookViewId="0">
      <selection activeCell="H29" sqref="H29"/>
    </sheetView>
  </sheetViews>
  <sheetFormatPr defaultRowHeight="15"/>
  <cols>
    <col min="1" max="1" width="20" bestFit="1" customWidth="1"/>
    <col min="2" max="2" width="13.42578125" bestFit="1" customWidth="1"/>
  </cols>
  <sheetData>
    <row r="3" spans="1:2">
      <c r="A3" s="6" t="s">
        <v>1</v>
      </c>
      <c r="B3" t="s">
        <v>92</v>
      </c>
    </row>
    <row r="4" spans="1:2">
      <c r="A4" t="s">
        <v>71</v>
      </c>
      <c r="B4">
        <v>21</v>
      </c>
    </row>
    <row r="5" spans="1:2">
      <c r="A5" t="s">
        <v>62</v>
      </c>
      <c r="B5">
        <v>6</v>
      </c>
    </row>
    <row r="6" spans="1:2">
      <c r="A6" t="s">
        <v>60</v>
      </c>
      <c r="B6">
        <v>20</v>
      </c>
    </row>
    <row r="7" spans="1:2">
      <c r="A7" t="s">
        <v>63</v>
      </c>
      <c r="B7">
        <v>10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E047-ADCA-44E0-B9B1-337699A7DC5C}">
  <dimension ref="A3:B47"/>
  <sheetViews>
    <sheetView workbookViewId="0">
      <selection activeCell="A23" sqref="A23"/>
    </sheetView>
  </sheetViews>
  <sheetFormatPr defaultRowHeight="15"/>
  <cols>
    <col min="1" max="1" width="21.85546875" bestFit="1" customWidth="1"/>
    <col min="2" max="2" width="15.28515625" bestFit="1" customWidth="1"/>
    <col min="3" max="13" width="10.5703125" bestFit="1" customWidth="1"/>
    <col min="14" max="14" width="9.5703125" bestFit="1" customWidth="1"/>
    <col min="15" max="17" width="10.5703125" bestFit="1" customWidth="1"/>
    <col min="18" max="18" width="9.5703125" bestFit="1" customWidth="1"/>
    <col min="19" max="30" width="10.5703125" bestFit="1" customWidth="1"/>
    <col min="31" max="31" width="9.5703125" bestFit="1" customWidth="1"/>
    <col min="32" max="50" width="10.5703125" bestFit="1" customWidth="1"/>
    <col min="51" max="51" width="9.5703125" bestFit="1" customWidth="1"/>
    <col min="52" max="58" width="10.5703125" bestFit="1" customWidth="1"/>
    <col min="59" max="59" width="7.28515625" bestFit="1" customWidth="1"/>
    <col min="60" max="60" width="11.28515625" bestFit="1" customWidth="1"/>
    <col min="61" max="61" width="16.5703125" bestFit="1" customWidth="1"/>
    <col min="63" max="63" width="12.140625" bestFit="1" customWidth="1"/>
    <col min="64" max="64" width="11.28515625" bestFit="1" customWidth="1"/>
  </cols>
  <sheetData>
    <row r="3" spans="1:2">
      <c r="A3" s="6" t="s">
        <v>93</v>
      </c>
      <c r="B3" t="s">
        <v>96</v>
      </c>
    </row>
    <row r="4" spans="1:2">
      <c r="A4" s="7" t="s">
        <v>71</v>
      </c>
      <c r="B4">
        <v>21</v>
      </c>
    </row>
    <row r="5" spans="1:2">
      <c r="A5" s="8" t="s">
        <v>9</v>
      </c>
      <c r="B5">
        <v>1</v>
      </c>
    </row>
    <row r="6" spans="1:2">
      <c r="A6" s="8" t="s">
        <v>11</v>
      </c>
      <c r="B6">
        <v>1</v>
      </c>
    </row>
    <row r="7" spans="1:2">
      <c r="A7" s="8" t="s">
        <v>14</v>
      </c>
      <c r="B7">
        <v>1</v>
      </c>
    </row>
    <row r="8" spans="1:2">
      <c r="A8" s="8" t="s">
        <v>16</v>
      </c>
      <c r="B8">
        <v>1</v>
      </c>
    </row>
    <row r="9" spans="1:2">
      <c r="A9" s="8" t="s">
        <v>17</v>
      </c>
      <c r="B9">
        <v>1</v>
      </c>
    </row>
    <row r="10" spans="1:2">
      <c r="A10" s="8" t="s">
        <v>23</v>
      </c>
      <c r="B10">
        <v>1</v>
      </c>
    </row>
    <row r="11" spans="1:2">
      <c r="A11" s="8" t="s">
        <v>24</v>
      </c>
      <c r="B11">
        <v>1</v>
      </c>
    </row>
    <row r="12" spans="1:2">
      <c r="A12" s="8" t="s">
        <v>26</v>
      </c>
      <c r="B12">
        <v>1</v>
      </c>
    </row>
    <row r="13" spans="1:2">
      <c r="A13" s="8" t="s">
        <v>27</v>
      </c>
      <c r="B13">
        <v>1</v>
      </c>
    </row>
    <row r="14" spans="1:2">
      <c r="A14" s="8" t="s">
        <v>28</v>
      </c>
      <c r="B14">
        <v>1</v>
      </c>
    </row>
    <row r="15" spans="1:2">
      <c r="A15" s="8" t="s">
        <v>29</v>
      </c>
      <c r="B15">
        <v>1</v>
      </c>
    </row>
    <row r="16" spans="1:2">
      <c r="A16" s="8" t="s">
        <v>30</v>
      </c>
      <c r="B16">
        <v>1</v>
      </c>
    </row>
    <row r="17" spans="1:2">
      <c r="A17" s="8" t="s">
        <v>35</v>
      </c>
      <c r="B17">
        <v>1</v>
      </c>
    </row>
    <row r="18" spans="1:2">
      <c r="A18" s="8" t="s">
        <v>42</v>
      </c>
      <c r="B18">
        <v>1</v>
      </c>
    </row>
    <row r="19" spans="1:2">
      <c r="A19" s="8" t="s">
        <v>43</v>
      </c>
      <c r="B19">
        <v>1</v>
      </c>
    </row>
    <row r="20" spans="1:2">
      <c r="A20" s="8" t="s">
        <v>46</v>
      </c>
      <c r="B20">
        <v>1</v>
      </c>
    </row>
    <row r="21" spans="1:2">
      <c r="A21" s="8" t="s">
        <v>47</v>
      </c>
      <c r="B21">
        <v>1</v>
      </c>
    </row>
    <row r="22" spans="1:2">
      <c r="A22" s="8" t="s">
        <v>50</v>
      </c>
      <c r="B22">
        <v>1</v>
      </c>
    </row>
    <row r="23" spans="1:2">
      <c r="A23" s="8" t="s">
        <v>6</v>
      </c>
      <c r="B23">
        <v>1</v>
      </c>
    </row>
    <row r="24" spans="1:2">
      <c r="A24" s="8" t="s">
        <v>57</v>
      </c>
      <c r="B24">
        <v>1</v>
      </c>
    </row>
    <row r="25" spans="1:2">
      <c r="A25" s="8" t="s">
        <v>59</v>
      </c>
      <c r="B25">
        <v>1</v>
      </c>
    </row>
    <row r="26" spans="1:2">
      <c r="A26" s="7" t="s">
        <v>62</v>
      </c>
      <c r="B26">
        <v>5</v>
      </c>
    </row>
    <row r="27" spans="1:2">
      <c r="A27" s="8" t="s">
        <v>7</v>
      </c>
      <c r="B27">
        <v>1</v>
      </c>
    </row>
    <row r="28" spans="1:2">
      <c r="A28" s="8" t="s">
        <v>10</v>
      </c>
    </row>
    <row r="29" spans="1:2">
      <c r="A29" s="8" t="s">
        <v>15</v>
      </c>
      <c r="B29">
        <v>1</v>
      </c>
    </row>
    <row r="30" spans="1:2">
      <c r="A30" s="8" t="s">
        <v>36</v>
      </c>
      <c r="B30">
        <v>1</v>
      </c>
    </row>
    <row r="31" spans="1:2">
      <c r="A31" s="8" t="s">
        <v>49</v>
      </c>
      <c r="B31">
        <v>1</v>
      </c>
    </row>
    <row r="32" spans="1:2">
      <c r="A32" s="8" t="s">
        <v>58</v>
      </c>
      <c r="B32">
        <v>1</v>
      </c>
    </row>
    <row r="33" spans="1:2">
      <c r="A33" s="7" t="s">
        <v>60</v>
      </c>
      <c r="B33">
        <v>20</v>
      </c>
    </row>
    <row r="34" spans="1:2">
      <c r="A34" s="7" t="s">
        <v>63</v>
      </c>
      <c r="B34">
        <v>10</v>
      </c>
    </row>
    <row r="35" spans="1:2">
      <c r="A35" s="8" t="s">
        <v>22</v>
      </c>
      <c r="B35">
        <v>1</v>
      </c>
    </row>
    <row r="36" spans="1:2">
      <c r="A36" s="8" t="s">
        <v>25</v>
      </c>
      <c r="B36">
        <v>1</v>
      </c>
    </row>
    <row r="37" spans="1:2">
      <c r="A37" s="8" t="s">
        <v>33</v>
      </c>
      <c r="B37">
        <v>1</v>
      </c>
    </row>
    <row r="38" spans="1:2">
      <c r="A38" s="8" t="s">
        <v>44</v>
      </c>
      <c r="B38">
        <v>1</v>
      </c>
    </row>
    <row r="39" spans="1:2">
      <c r="A39" s="8" t="s">
        <v>51</v>
      </c>
      <c r="B39">
        <v>1</v>
      </c>
    </row>
    <row r="40" spans="1:2">
      <c r="A40" s="8" t="s">
        <v>52</v>
      </c>
      <c r="B40">
        <v>1</v>
      </c>
    </row>
    <row r="41" spans="1:2">
      <c r="A41" s="8" t="s">
        <v>53</v>
      </c>
      <c r="B41">
        <v>1</v>
      </c>
    </row>
    <row r="42" spans="1:2">
      <c r="A42" s="8" t="s">
        <v>54</v>
      </c>
      <c r="B42">
        <v>1</v>
      </c>
    </row>
    <row r="43" spans="1:2">
      <c r="A43" s="8" t="s">
        <v>55</v>
      </c>
      <c r="B43">
        <v>1</v>
      </c>
    </row>
    <row r="44" spans="1:2">
      <c r="A44" s="8" t="s">
        <v>56</v>
      </c>
      <c r="B44">
        <v>1</v>
      </c>
    </row>
    <row r="45" spans="1:2">
      <c r="A45" s="7" t="s">
        <v>94</v>
      </c>
    </row>
    <row r="46" spans="1:2">
      <c r="A46" s="8" t="s">
        <v>94</v>
      </c>
    </row>
    <row r="47" spans="1:2">
      <c r="A47" s="7" t="s">
        <v>95</v>
      </c>
      <c r="B47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0935-ADFD-4DEE-9683-2CDC26815659}">
  <dimension ref="A3:I45"/>
  <sheetViews>
    <sheetView tabSelected="1" topLeftCell="A12" workbookViewId="0">
      <selection activeCell="I42" sqref="H35:I42"/>
    </sheetView>
  </sheetViews>
  <sheetFormatPr defaultRowHeight="15"/>
  <cols>
    <col min="1" max="1" width="99.85546875" bestFit="1" customWidth="1"/>
    <col min="2" max="2" width="16.7109375" bestFit="1" customWidth="1"/>
    <col min="8" max="8" width="34.7109375" customWidth="1"/>
  </cols>
  <sheetData>
    <row r="3" spans="1:2">
      <c r="A3" s="6" t="s">
        <v>93</v>
      </c>
      <c r="B3" t="s">
        <v>114</v>
      </c>
    </row>
    <row r="4" spans="1:2">
      <c r="A4" s="7" t="s">
        <v>100</v>
      </c>
      <c r="B4" s="9">
        <v>2</v>
      </c>
    </row>
    <row r="5" spans="1:2">
      <c r="A5" s="7" t="s">
        <v>113</v>
      </c>
      <c r="B5" s="9">
        <v>1</v>
      </c>
    </row>
    <row r="6" spans="1:2">
      <c r="A6" s="7" t="s">
        <v>105</v>
      </c>
      <c r="B6" s="9">
        <v>2</v>
      </c>
    </row>
    <row r="7" spans="1:2">
      <c r="A7" s="7" t="s">
        <v>106</v>
      </c>
      <c r="B7" s="9">
        <v>10</v>
      </c>
    </row>
    <row r="8" spans="1:2">
      <c r="A8" s="7" t="s">
        <v>112</v>
      </c>
      <c r="B8" s="9">
        <v>1</v>
      </c>
    </row>
    <row r="9" spans="1:2">
      <c r="A9" s="7" t="s">
        <v>109</v>
      </c>
      <c r="B9" s="9">
        <v>1</v>
      </c>
    </row>
    <row r="10" spans="1:2">
      <c r="A10" s="7" t="s">
        <v>98</v>
      </c>
      <c r="B10" s="9">
        <v>2</v>
      </c>
    </row>
    <row r="11" spans="1:2">
      <c r="A11" s="7" t="s">
        <v>99</v>
      </c>
      <c r="B11" s="9">
        <v>1</v>
      </c>
    </row>
    <row r="12" spans="1:2">
      <c r="A12" s="7" t="s">
        <v>104</v>
      </c>
      <c r="B12" s="9">
        <v>1</v>
      </c>
    </row>
    <row r="13" spans="1:2">
      <c r="A13" s="7" t="s">
        <v>102</v>
      </c>
      <c r="B13" s="9">
        <v>1</v>
      </c>
    </row>
    <row r="14" spans="1:2">
      <c r="A14" s="7" t="s">
        <v>101</v>
      </c>
      <c r="B14" s="9">
        <v>1</v>
      </c>
    </row>
    <row r="15" spans="1:2">
      <c r="A15" s="7" t="s">
        <v>60</v>
      </c>
      <c r="B15" s="9">
        <v>26</v>
      </c>
    </row>
    <row r="16" spans="1:2">
      <c r="A16" s="7" t="s">
        <v>103</v>
      </c>
      <c r="B16" s="9">
        <v>3</v>
      </c>
    </row>
    <row r="17" spans="1:5">
      <c r="A17" s="7" t="s">
        <v>111</v>
      </c>
      <c r="B17" s="9">
        <v>1</v>
      </c>
    </row>
    <row r="18" spans="1:5">
      <c r="A18" s="7" t="s">
        <v>108</v>
      </c>
      <c r="B18" s="9">
        <v>1</v>
      </c>
    </row>
    <row r="19" spans="1:5">
      <c r="A19" s="7" t="s">
        <v>110</v>
      </c>
      <c r="B19" s="9">
        <v>1</v>
      </c>
    </row>
    <row r="20" spans="1:5">
      <c r="A20" s="7" t="s">
        <v>107</v>
      </c>
      <c r="B20" s="9">
        <v>2</v>
      </c>
    </row>
    <row r="21" spans="1:5">
      <c r="A21" s="7" t="s">
        <v>94</v>
      </c>
      <c r="B21" s="9"/>
    </row>
    <row r="22" spans="1:5">
      <c r="A22" s="7" t="s">
        <v>95</v>
      </c>
      <c r="B22" s="9">
        <v>57</v>
      </c>
    </row>
    <row r="29" spans="1:5">
      <c r="A29" s="7" t="s">
        <v>100</v>
      </c>
      <c r="B29" s="9">
        <v>2</v>
      </c>
    </row>
    <row r="30" spans="1:5">
      <c r="A30" s="7" t="s">
        <v>113</v>
      </c>
      <c r="B30" s="9">
        <v>1</v>
      </c>
      <c r="E30" s="9">
        <v>1</v>
      </c>
    </row>
    <row r="31" spans="1:5">
      <c r="A31" s="7" t="s">
        <v>105</v>
      </c>
      <c r="B31" s="9">
        <v>2</v>
      </c>
      <c r="E31" s="9">
        <v>2</v>
      </c>
    </row>
    <row r="32" spans="1:5">
      <c r="A32" s="7" t="s">
        <v>106</v>
      </c>
      <c r="B32" s="9">
        <v>10</v>
      </c>
      <c r="E32" s="9">
        <v>10</v>
      </c>
    </row>
    <row r="33" spans="1:9">
      <c r="A33" s="7" t="s">
        <v>112</v>
      </c>
      <c r="B33" s="9">
        <v>1</v>
      </c>
      <c r="E33" s="9">
        <v>1</v>
      </c>
    </row>
    <row r="34" spans="1:9">
      <c r="A34" s="7" t="s">
        <v>109</v>
      </c>
      <c r="B34" s="9">
        <v>1</v>
      </c>
      <c r="E34" s="9">
        <v>1</v>
      </c>
    </row>
    <row r="35" spans="1:9">
      <c r="A35" s="7" t="s">
        <v>98</v>
      </c>
      <c r="B35" s="9">
        <v>2</v>
      </c>
      <c r="E35" s="9">
        <v>2</v>
      </c>
      <c r="H35" t="s">
        <v>117</v>
      </c>
      <c r="I35">
        <f>20/57</f>
        <v>0.35087719298245612</v>
      </c>
    </row>
    <row r="36" spans="1:9">
      <c r="A36" s="7" t="s">
        <v>99</v>
      </c>
      <c r="B36" s="9">
        <v>1</v>
      </c>
      <c r="E36" s="9">
        <v>1</v>
      </c>
    </row>
    <row r="37" spans="1:9">
      <c r="A37" s="7" t="s">
        <v>104</v>
      </c>
      <c r="B37" s="9">
        <v>1</v>
      </c>
      <c r="E37" s="9">
        <v>1</v>
      </c>
    </row>
    <row r="38" spans="1:9">
      <c r="A38" s="7" t="s">
        <v>102</v>
      </c>
      <c r="B38" s="9">
        <v>1</v>
      </c>
      <c r="E38" s="9">
        <v>1</v>
      </c>
      <c r="H38" s="7" t="s">
        <v>100</v>
      </c>
      <c r="I38">
        <v>2</v>
      </c>
    </row>
    <row r="39" spans="1:9" ht="45">
      <c r="A39" s="7" t="s">
        <v>101</v>
      </c>
      <c r="B39" s="9">
        <v>1</v>
      </c>
      <c r="E39" s="9">
        <v>1</v>
      </c>
      <c r="H39" s="4" t="s">
        <v>115</v>
      </c>
      <c r="I39">
        <f>SUM(E30:E39)</f>
        <v>21</v>
      </c>
    </row>
    <row r="40" spans="1:9">
      <c r="A40" s="7" t="s">
        <v>60</v>
      </c>
      <c r="B40" s="9">
        <v>26</v>
      </c>
      <c r="D40" s="9">
        <v>26</v>
      </c>
      <c r="H40" t="s">
        <v>60</v>
      </c>
      <c r="I40">
        <f>SUM(D40:D45)</f>
        <v>34</v>
      </c>
    </row>
    <row r="41" spans="1:9">
      <c r="A41" s="7" t="s">
        <v>103</v>
      </c>
      <c r="B41" s="9">
        <v>3</v>
      </c>
      <c r="D41" s="9">
        <v>3</v>
      </c>
    </row>
    <row r="42" spans="1:9">
      <c r="A42" s="7" t="s">
        <v>111</v>
      </c>
      <c r="B42" s="9">
        <v>1</v>
      </c>
      <c r="D42" s="9">
        <v>1</v>
      </c>
      <c r="H42" t="s">
        <v>116</v>
      </c>
      <c r="I42">
        <f>34/ (34+21)</f>
        <v>0.61818181818181817</v>
      </c>
    </row>
    <row r="43" spans="1:9">
      <c r="A43" s="7" t="s">
        <v>108</v>
      </c>
      <c r="B43" s="9">
        <v>1</v>
      </c>
      <c r="D43" s="9">
        <v>1</v>
      </c>
    </row>
    <row r="44" spans="1:9">
      <c r="A44" s="7" t="s">
        <v>110</v>
      </c>
      <c r="B44" s="9">
        <v>1</v>
      </c>
      <c r="D44" s="9">
        <v>1</v>
      </c>
    </row>
    <row r="45" spans="1:9">
      <c r="A45" s="7" t="s">
        <v>107</v>
      </c>
      <c r="B45" s="9">
        <v>2</v>
      </c>
      <c r="D45" s="9">
        <v>2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opLeftCell="B7" workbookViewId="0">
      <selection activeCell="C5" sqref="C5"/>
    </sheetView>
  </sheetViews>
  <sheetFormatPr defaultRowHeight="15"/>
  <cols>
    <col min="1" max="1" width="39.28515625" customWidth="1"/>
    <col min="2" max="2" width="21.85546875" customWidth="1"/>
    <col min="3" max="3" width="99.85546875" bestFit="1" customWidth="1"/>
    <col min="4" max="4" width="43.7109375" customWidth="1"/>
    <col min="5" max="5" width="65.28515625" bestFit="1" customWidth="1"/>
    <col min="6" max="6" width="62.85546875" style="4" customWidth="1"/>
  </cols>
  <sheetData>
    <row r="1" spans="1:6">
      <c r="A1" s="1" t="s">
        <v>0</v>
      </c>
      <c r="B1" s="1" t="s">
        <v>91</v>
      </c>
      <c r="C1" s="1" t="s">
        <v>97</v>
      </c>
      <c r="D1" s="1" t="s">
        <v>1</v>
      </c>
      <c r="E1" s="1" t="s">
        <v>2</v>
      </c>
    </row>
    <row r="2" spans="1:6">
      <c r="A2" t="s">
        <v>3</v>
      </c>
      <c r="B2" t="s">
        <v>60</v>
      </c>
      <c r="C2" t="s">
        <v>60</v>
      </c>
      <c r="D2" t="s">
        <v>60</v>
      </c>
      <c r="E2" t="s">
        <v>64</v>
      </c>
      <c r="F2"/>
    </row>
    <row r="3" spans="1:6">
      <c r="A3" t="s">
        <v>4</v>
      </c>
      <c r="B3" t="s">
        <v>60</v>
      </c>
      <c r="C3" t="s">
        <v>60</v>
      </c>
      <c r="D3" t="s">
        <v>60</v>
      </c>
      <c r="E3" t="s">
        <v>64</v>
      </c>
      <c r="F3"/>
    </row>
    <row r="4" spans="1:6">
      <c r="A4" t="s">
        <v>5</v>
      </c>
      <c r="B4" t="s">
        <v>60</v>
      </c>
      <c r="C4" t="s">
        <v>60</v>
      </c>
      <c r="D4" t="s">
        <v>60</v>
      </c>
      <c r="E4" t="s">
        <v>64</v>
      </c>
      <c r="F4"/>
    </row>
    <row r="5" spans="1:6">
      <c r="A5" t="s">
        <v>6</v>
      </c>
      <c r="B5" t="s">
        <v>61</v>
      </c>
      <c r="C5" t="s">
        <v>99</v>
      </c>
      <c r="D5" t="s">
        <v>71</v>
      </c>
      <c r="E5" s="2" t="s">
        <v>70</v>
      </c>
      <c r="F5"/>
    </row>
    <row r="6" spans="1:6">
      <c r="A6" t="s">
        <v>7</v>
      </c>
      <c r="B6" t="s">
        <v>61</v>
      </c>
      <c r="C6" t="s">
        <v>60</v>
      </c>
      <c r="D6" t="s">
        <v>62</v>
      </c>
      <c r="E6" t="s">
        <v>65</v>
      </c>
      <c r="F6" s="3" t="s">
        <v>80</v>
      </c>
    </row>
    <row r="7" spans="1:6">
      <c r="A7" t="s">
        <v>8</v>
      </c>
      <c r="B7" t="s">
        <v>60</v>
      </c>
      <c r="C7" t="s">
        <v>60</v>
      </c>
      <c r="D7" t="s">
        <v>60</v>
      </c>
      <c r="E7" t="s">
        <v>64</v>
      </c>
      <c r="F7"/>
    </row>
    <row r="8" spans="1:6">
      <c r="A8" t="s">
        <v>9</v>
      </c>
      <c r="B8" t="s">
        <v>61</v>
      </c>
      <c r="C8" t="s">
        <v>106</v>
      </c>
      <c r="D8" t="s">
        <v>71</v>
      </c>
      <c r="E8" s="2" t="s">
        <v>70</v>
      </c>
      <c r="F8"/>
    </row>
    <row r="9" spans="1:6">
      <c r="A9" t="s">
        <v>10</v>
      </c>
      <c r="B9" t="s">
        <v>61</v>
      </c>
      <c r="C9" t="s">
        <v>60</v>
      </c>
      <c r="D9" t="s">
        <v>62</v>
      </c>
      <c r="F9"/>
    </row>
    <row r="10" spans="1:6">
      <c r="A10" t="s">
        <v>11</v>
      </c>
      <c r="B10" t="s">
        <v>61</v>
      </c>
      <c r="C10" t="s">
        <v>106</v>
      </c>
      <c r="D10" t="s">
        <v>71</v>
      </c>
      <c r="E10" s="2" t="s">
        <v>70</v>
      </c>
      <c r="F10"/>
    </row>
    <row r="11" spans="1:6">
      <c r="A11" t="s">
        <v>12</v>
      </c>
      <c r="B11" t="s">
        <v>60</v>
      </c>
      <c r="C11" t="s">
        <v>60</v>
      </c>
      <c r="D11" t="s">
        <v>60</v>
      </c>
      <c r="E11" t="s">
        <v>64</v>
      </c>
      <c r="F11"/>
    </row>
    <row r="12" spans="1:6">
      <c r="A12" t="s">
        <v>13</v>
      </c>
      <c r="B12" t="s">
        <v>60</v>
      </c>
      <c r="C12" t="s">
        <v>60</v>
      </c>
      <c r="D12" t="s">
        <v>60</v>
      </c>
      <c r="E12" t="s">
        <v>64</v>
      </c>
      <c r="F12"/>
    </row>
    <row r="13" spans="1:6">
      <c r="A13" t="s">
        <v>14</v>
      </c>
      <c r="B13" t="s">
        <v>61</v>
      </c>
      <c r="C13" t="s">
        <v>106</v>
      </c>
      <c r="D13" t="s">
        <v>71</v>
      </c>
      <c r="E13" s="2" t="s">
        <v>70</v>
      </c>
      <c r="F13"/>
    </row>
    <row r="14" spans="1:6">
      <c r="A14" t="s">
        <v>15</v>
      </c>
      <c r="B14" t="s">
        <v>61</v>
      </c>
      <c r="C14" t="s">
        <v>98</v>
      </c>
      <c r="D14" t="s">
        <v>62</v>
      </c>
      <c r="E14" t="s">
        <v>66</v>
      </c>
      <c r="F14" s="4" t="s">
        <v>79</v>
      </c>
    </row>
    <row r="15" spans="1:6">
      <c r="A15" t="s">
        <v>16</v>
      </c>
      <c r="B15" t="s">
        <v>61</v>
      </c>
      <c r="C15" t="s">
        <v>106</v>
      </c>
      <c r="D15" t="s">
        <v>71</v>
      </c>
      <c r="E15" s="2" t="s">
        <v>70</v>
      </c>
      <c r="F15"/>
    </row>
    <row r="16" spans="1:6">
      <c r="A16" t="s">
        <v>17</v>
      </c>
      <c r="B16" t="s">
        <v>61</v>
      </c>
      <c r="C16" t="s">
        <v>106</v>
      </c>
      <c r="D16" t="s">
        <v>71</v>
      </c>
      <c r="E16" s="2" t="s">
        <v>70</v>
      </c>
      <c r="F16"/>
    </row>
    <row r="17" spans="1:6">
      <c r="A17" t="s">
        <v>18</v>
      </c>
      <c r="B17" t="s">
        <v>60</v>
      </c>
      <c r="C17" t="s">
        <v>60</v>
      </c>
      <c r="D17" t="s">
        <v>60</v>
      </c>
      <c r="E17" t="s">
        <v>64</v>
      </c>
      <c r="F17"/>
    </row>
    <row r="18" spans="1:6" ht="60">
      <c r="A18" t="s">
        <v>19</v>
      </c>
      <c r="B18" t="s">
        <v>60</v>
      </c>
      <c r="C18" t="s">
        <v>60</v>
      </c>
      <c r="D18" t="s">
        <v>60</v>
      </c>
      <c r="E18" t="s">
        <v>72</v>
      </c>
      <c r="F18" s="4" t="s">
        <v>90</v>
      </c>
    </row>
    <row r="19" spans="1:6">
      <c r="A19" t="s">
        <v>20</v>
      </c>
      <c r="B19" t="s">
        <v>60</v>
      </c>
      <c r="C19" t="s">
        <v>60</v>
      </c>
      <c r="D19" t="s">
        <v>60</v>
      </c>
      <c r="E19" t="s">
        <v>74</v>
      </c>
      <c r="F19"/>
    </row>
    <row r="20" spans="1:6">
      <c r="A20" t="s">
        <v>21</v>
      </c>
      <c r="B20" t="s">
        <v>60</v>
      </c>
      <c r="C20" t="s">
        <v>60</v>
      </c>
      <c r="D20" t="s">
        <v>60</v>
      </c>
      <c r="E20" t="s">
        <v>64</v>
      </c>
      <c r="F20"/>
    </row>
    <row r="21" spans="1:6" ht="45">
      <c r="A21" t="s">
        <v>22</v>
      </c>
      <c r="B21" t="s">
        <v>61</v>
      </c>
      <c r="C21" t="s">
        <v>60</v>
      </c>
      <c r="D21" t="s">
        <v>63</v>
      </c>
      <c r="E21" s="4" t="s">
        <v>81</v>
      </c>
      <c r="F21"/>
    </row>
    <row r="22" spans="1:6">
      <c r="A22" t="s">
        <v>23</v>
      </c>
      <c r="B22" t="s">
        <v>61</v>
      </c>
      <c r="C22" t="s">
        <v>106</v>
      </c>
      <c r="D22" t="s">
        <v>71</v>
      </c>
      <c r="E22" s="2" t="s">
        <v>70</v>
      </c>
      <c r="F22"/>
    </row>
    <row r="23" spans="1:6">
      <c r="A23" t="s">
        <v>24</v>
      </c>
      <c r="B23" t="s">
        <v>61</v>
      </c>
      <c r="C23" t="s">
        <v>105</v>
      </c>
      <c r="D23" t="s">
        <v>71</v>
      </c>
      <c r="E23" s="2" t="s">
        <v>70</v>
      </c>
      <c r="F23"/>
    </row>
    <row r="24" spans="1:6" ht="45">
      <c r="A24" t="s">
        <v>25</v>
      </c>
      <c r="B24" t="s">
        <v>61</v>
      </c>
      <c r="C24" t="s">
        <v>100</v>
      </c>
      <c r="D24" t="s">
        <v>63</v>
      </c>
      <c r="E24" s="4" t="s">
        <v>82</v>
      </c>
      <c r="F24"/>
    </row>
    <row r="25" spans="1:6">
      <c r="A25" t="s">
        <v>26</v>
      </c>
      <c r="B25" t="s">
        <v>61</v>
      </c>
      <c r="C25" t="s">
        <v>107</v>
      </c>
      <c r="D25" t="s">
        <v>71</v>
      </c>
      <c r="E25" s="2" t="s">
        <v>70</v>
      </c>
      <c r="F25"/>
    </row>
    <row r="26" spans="1:6">
      <c r="A26" t="s">
        <v>27</v>
      </c>
      <c r="B26" t="s">
        <v>61</v>
      </c>
      <c r="C26" t="s">
        <v>107</v>
      </c>
      <c r="D26" t="s">
        <v>71</v>
      </c>
      <c r="E26" s="2" t="s">
        <v>70</v>
      </c>
      <c r="F26"/>
    </row>
    <row r="27" spans="1:6">
      <c r="A27" t="s">
        <v>28</v>
      </c>
      <c r="B27" t="s">
        <v>61</v>
      </c>
      <c r="C27" t="s">
        <v>105</v>
      </c>
      <c r="D27" t="s">
        <v>71</v>
      </c>
      <c r="E27" s="2" t="s">
        <v>70</v>
      </c>
      <c r="F27"/>
    </row>
    <row r="28" spans="1:6">
      <c r="A28" t="s">
        <v>29</v>
      </c>
      <c r="B28" t="s">
        <v>61</v>
      </c>
      <c r="C28" t="s">
        <v>108</v>
      </c>
      <c r="D28" t="s">
        <v>71</v>
      </c>
      <c r="E28" s="2" t="s">
        <v>70</v>
      </c>
      <c r="F28"/>
    </row>
    <row r="29" spans="1:6">
      <c r="A29" t="s">
        <v>30</v>
      </c>
      <c r="B29" t="s">
        <v>61</v>
      </c>
      <c r="C29" t="s">
        <v>106</v>
      </c>
      <c r="D29" t="s">
        <v>71</v>
      </c>
      <c r="E29" s="2" t="s">
        <v>70</v>
      </c>
      <c r="F29"/>
    </row>
    <row r="30" spans="1:6">
      <c r="A30" t="s">
        <v>31</v>
      </c>
      <c r="B30" t="s">
        <v>60</v>
      </c>
      <c r="C30" t="s">
        <v>60</v>
      </c>
      <c r="D30" t="s">
        <v>60</v>
      </c>
      <c r="E30" t="s">
        <v>64</v>
      </c>
      <c r="F30"/>
    </row>
    <row r="31" spans="1:6">
      <c r="A31" t="s">
        <v>32</v>
      </c>
      <c r="B31" t="s">
        <v>60</v>
      </c>
      <c r="C31" t="s">
        <v>60</v>
      </c>
      <c r="D31" t="s">
        <v>60</v>
      </c>
      <c r="E31" t="s">
        <v>73</v>
      </c>
      <c r="F31"/>
    </row>
    <row r="32" spans="1:6" ht="45">
      <c r="A32" t="s">
        <v>33</v>
      </c>
      <c r="B32" t="s">
        <v>61</v>
      </c>
      <c r="C32" t="s">
        <v>60</v>
      </c>
      <c r="D32" t="s">
        <v>63</v>
      </c>
      <c r="E32" s="4" t="s">
        <v>83</v>
      </c>
      <c r="F32"/>
    </row>
    <row r="33" spans="1:6">
      <c r="A33" t="s">
        <v>34</v>
      </c>
      <c r="B33" t="s">
        <v>60</v>
      </c>
      <c r="C33" t="s">
        <v>60</v>
      </c>
      <c r="D33" t="s">
        <v>60</v>
      </c>
      <c r="E33" t="s">
        <v>64</v>
      </c>
      <c r="F33"/>
    </row>
    <row r="34" spans="1:6">
      <c r="A34" t="s">
        <v>35</v>
      </c>
      <c r="B34" t="s">
        <v>61</v>
      </c>
      <c r="C34" t="s">
        <v>106</v>
      </c>
      <c r="D34" t="s">
        <v>71</v>
      </c>
      <c r="E34" s="2" t="s">
        <v>70</v>
      </c>
      <c r="F34"/>
    </row>
    <row r="35" spans="1:6">
      <c r="A35" t="s">
        <v>36</v>
      </c>
      <c r="B35" t="s">
        <v>61</v>
      </c>
      <c r="C35" t="s">
        <v>60</v>
      </c>
      <c r="D35" t="s">
        <v>62</v>
      </c>
      <c r="E35" t="s">
        <v>67</v>
      </c>
      <c r="F35" s="3" t="s">
        <v>78</v>
      </c>
    </row>
    <row r="36" spans="1:6">
      <c r="A36" t="s">
        <v>37</v>
      </c>
      <c r="B36" t="s">
        <v>60</v>
      </c>
      <c r="C36" t="s">
        <v>60</v>
      </c>
      <c r="D36" t="s">
        <v>60</v>
      </c>
      <c r="E36" t="s">
        <v>64</v>
      </c>
      <c r="F36"/>
    </row>
    <row r="37" spans="1:6">
      <c r="A37" t="s">
        <v>38</v>
      </c>
      <c r="B37" t="s">
        <v>60</v>
      </c>
      <c r="C37" t="s">
        <v>60</v>
      </c>
      <c r="D37" t="s">
        <v>60</v>
      </c>
      <c r="E37" t="s">
        <v>64</v>
      </c>
      <c r="F37"/>
    </row>
    <row r="38" spans="1:6">
      <c r="A38" t="s">
        <v>39</v>
      </c>
      <c r="B38" t="s">
        <v>60</v>
      </c>
      <c r="C38" t="s">
        <v>60</v>
      </c>
      <c r="D38" t="s">
        <v>60</v>
      </c>
      <c r="E38" t="s">
        <v>64</v>
      </c>
      <c r="F38"/>
    </row>
    <row r="39" spans="1:6">
      <c r="A39" t="s">
        <v>40</v>
      </c>
      <c r="B39" t="s">
        <v>60</v>
      </c>
      <c r="C39" t="s">
        <v>60</v>
      </c>
      <c r="D39" t="s">
        <v>60</v>
      </c>
      <c r="E39" t="s">
        <v>64</v>
      </c>
      <c r="F39"/>
    </row>
    <row r="40" spans="1:6">
      <c r="A40" t="s">
        <v>41</v>
      </c>
      <c r="B40" t="s">
        <v>60</v>
      </c>
      <c r="C40" t="s">
        <v>60</v>
      </c>
      <c r="D40" t="s">
        <v>60</v>
      </c>
      <c r="E40" t="s">
        <v>64</v>
      </c>
      <c r="F40"/>
    </row>
    <row r="41" spans="1:6">
      <c r="A41" t="s">
        <v>42</v>
      </c>
      <c r="B41" t="s">
        <v>61</v>
      </c>
      <c r="C41" t="s">
        <v>109</v>
      </c>
      <c r="D41" t="s">
        <v>71</v>
      </c>
      <c r="E41" s="2" t="s">
        <v>70</v>
      </c>
      <c r="F41"/>
    </row>
    <row r="42" spans="1:6">
      <c r="A42" t="s">
        <v>43</v>
      </c>
      <c r="B42" t="s">
        <v>61</v>
      </c>
      <c r="C42" t="s">
        <v>110</v>
      </c>
      <c r="D42" t="s">
        <v>71</v>
      </c>
      <c r="E42" s="2" t="s">
        <v>70</v>
      </c>
      <c r="F42"/>
    </row>
    <row r="43" spans="1:6" ht="45">
      <c r="A43" t="s">
        <v>44</v>
      </c>
      <c r="B43" t="s">
        <v>61</v>
      </c>
      <c r="C43" t="s">
        <v>101</v>
      </c>
      <c r="D43" t="s">
        <v>63</v>
      </c>
      <c r="E43" s="4" t="s">
        <v>84</v>
      </c>
      <c r="F43"/>
    </row>
    <row r="44" spans="1:6">
      <c r="A44" t="s">
        <v>45</v>
      </c>
      <c r="B44" t="s">
        <v>60</v>
      </c>
      <c r="C44" t="s">
        <v>60</v>
      </c>
      <c r="D44" t="s">
        <v>60</v>
      </c>
      <c r="E44" t="s">
        <v>64</v>
      </c>
      <c r="F44"/>
    </row>
    <row r="45" spans="1:6">
      <c r="A45" t="s">
        <v>46</v>
      </c>
      <c r="B45" t="s">
        <v>61</v>
      </c>
      <c r="C45" t="s">
        <v>106</v>
      </c>
      <c r="D45" t="s">
        <v>71</v>
      </c>
      <c r="E45" s="2" t="s">
        <v>70</v>
      </c>
      <c r="F45"/>
    </row>
    <row r="46" spans="1:6">
      <c r="A46" t="s">
        <v>47</v>
      </c>
      <c r="B46" t="s">
        <v>61</v>
      </c>
      <c r="C46" t="s">
        <v>111</v>
      </c>
      <c r="D46" t="s">
        <v>71</v>
      </c>
      <c r="E46" s="2" t="s">
        <v>70</v>
      </c>
      <c r="F46"/>
    </row>
    <row r="47" spans="1:6">
      <c r="A47" t="s">
        <v>48</v>
      </c>
      <c r="B47" t="s">
        <v>60</v>
      </c>
      <c r="C47" t="s">
        <v>60</v>
      </c>
      <c r="D47" t="s">
        <v>60</v>
      </c>
      <c r="E47" t="s">
        <v>64</v>
      </c>
      <c r="F47"/>
    </row>
    <row r="48" spans="1:6">
      <c r="A48" t="s">
        <v>49</v>
      </c>
      <c r="B48" t="s">
        <v>61</v>
      </c>
      <c r="C48" t="s">
        <v>98</v>
      </c>
      <c r="D48" t="s">
        <v>62</v>
      </c>
      <c r="E48" t="s">
        <v>68</v>
      </c>
      <c r="F48" t="s">
        <v>79</v>
      </c>
    </row>
    <row r="49" spans="1:6">
      <c r="A49" t="s">
        <v>50</v>
      </c>
      <c r="B49" t="s">
        <v>61</v>
      </c>
      <c r="C49" t="s">
        <v>106</v>
      </c>
      <c r="D49" t="s">
        <v>71</v>
      </c>
      <c r="E49" s="2" t="s">
        <v>70</v>
      </c>
      <c r="F49"/>
    </row>
    <row r="50" spans="1:6" ht="75">
      <c r="A50" t="s">
        <v>51</v>
      </c>
      <c r="B50" t="s">
        <v>61</v>
      </c>
      <c r="C50" t="s">
        <v>60</v>
      </c>
      <c r="D50" t="s">
        <v>63</v>
      </c>
      <c r="E50" s="4" t="s">
        <v>85</v>
      </c>
      <c r="F50"/>
    </row>
    <row r="51" spans="1:6" ht="45">
      <c r="A51" t="s">
        <v>52</v>
      </c>
      <c r="B51" t="s">
        <v>61</v>
      </c>
      <c r="C51" t="s">
        <v>100</v>
      </c>
      <c r="D51" t="s">
        <v>63</v>
      </c>
      <c r="E51" s="4" t="s">
        <v>86</v>
      </c>
      <c r="F51"/>
    </row>
    <row r="52" spans="1:6" ht="60">
      <c r="A52" t="s">
        <v>53</v>
      </c>
      <c r="B52" t="s">
        <v>61</v>
      </c>
      <c r="C52" t="s">
        <v>102</v>
      </c>
      <c r="D52" t="s">
        <v>63</v>
      </c>
      <c r="E52" s="4" t="s">
        <v>87</v>
      </c>
      <c r="F52"/>
    </row>
    <row r="53" spans="1:6" ht="45">
      <c r="A53" t="s">
        <v>54</v>
      </c>
      <c r="B53" t="s">
        <v>61</v>
      </c>
      <c r="C53" t="s">
        <v>103</v>
      </c>
      <c r="D53" t="s">
        <v>63</v>
      </c>
      <c r="E53" s="4" t="s">
        <v>88</v>
      </c>
      <c r="F53"/>
    </row>
    <row r="54" spans="1:6" ht="27">
      <c r="A54" t="s">
        <v>55</v>
      </c>
      <c r="B54" t="s">
        <v>61</v>
      </c>
      <c r="C54" t="s">
        <v>103</v>
      </c>
      <c r="D54" t="s">
        <v>63</v>
      </c>
      <c r="E54" t="s">
        <v>69</v>
      </c>
      <c r="F54" s="5" t="s">
        <v>76</v>
      </c>
    </row>
    <row r="55" spans="1:6" ht="45">
      <c r="A55" t="s">
        <v>56</v>
      </c>
      <c r="B55" t="s">
        <v>61</v>
      </c>
      <c r="C55" t="s">
        <v>103</v>
      </c>
      <c r="D55" t="s">
        <v>63</v>
      </c>
      <c r="E55" s="4" t="s">
        <v>89</v>
      </c>
      <c r="F55"/>
    </row>
    <row r="56" spans="1:6">
      <c r="A56" t="s">
        <v>57</v>
      </c>
      <c r="B56" t="s">
        <v>61</v>
      </c>
      <c r="C56" t="s">
        <v>112</v>
      </c>
      <c r="D56" t="s">
        <v>71</v>
      </c>
      <c r="E56" s="2" t="s">
        <v>70</v>
      </c>
      <c r="F56"/>
    </row>
    <row r="57" spans="1:6">
      <c r="A57" t="s">
        <v>58</v>
      </c>
      <c r="B57" t="s">
        <v>61</v>
      </c>
      <c r="C57" t="s">
        <v>104</v>
      </c>
      <c r="D57" t="s">
        <v>62</v>
      </c>
      <c r="E57" t="s">
        <v>75</v>
      </c>
      <c r="F57" s="4" t="s">
        <v>77</v>
      </c>
    </row>
    <row r="58" spans="1:6">
      <c r="A58" t="s">
        <v>59</v>
      </c>
      <c r="B58" t="s">
        <v>61</v>
      </c>
      <c r="C58" t="s">
        <v>113</v>
      </c>
      <c r="D58" t="s">
        <v>71</v>
      </c>
      <c r="E58" s="2" t="s">
        <v>70</v>
      </c>
      <c r="F58"/>
    </row>
  </sheetData>
  <autoFilter ref="A1:E5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Jasper Sun</cp:lastModifiedBy>
  <dcterms:created xsi:type="dcterms:W3CDTF">2023-12-18T18:54:45Z</dcterms:created>
  <dcterms:modified xsi:type="dcterms:W3CDTF">2024-01-04T04:52:28Z</dcterms:modified>
</cp:coreProperties>
</file>